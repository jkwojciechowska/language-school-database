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jak\Desktop\language-school-database\excel-analysis\"/>
    </mc:Choice>
  </mc:AlternateContent>
  <xr:revisionPtr revIDLastSave="0" documentId="13_ncr:1_{ACEC62F7-174B-427D-8CF6-18441DB93798}" xr6:coauthVersionLast="47" xr6:coauthVersionMax="47" xr10:uidLastSave="{00000000-0000-0000-0000-000000000000}"/>
  <bookViews>
    <workbookView xWindow="-105" yWindow="0" windowWidth="19410" windowHeight="15585" firstSheet="1" activeTab="3" xr2:uid="{00000000-000D-0000-FFFF-FFFF00000000}"/>
  </bookViews>
  <sheets>
    <sheet name="Students" sheetId="1" r:id="rId1"/>
    <sheet name="Attendance" sheetId="2" r:id="rId2"/>
    <sheet name="Payments" sheetId="3" r:id="rId3"/>
    <sheet name="Summary" sheetId="4" r:id="rId4"/>
  </sheet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8" i="4"/>
  <c r="B5" i="4"/>
  <c r="B3" i="4"/>
  <c r="B10" i="4"/>
  <c r="B7" i="4"/>
  <c r="B9" i="4"/>
  <c r="B2" i="4"/>
  <c r="B11" i="4"/>
  <c r="B6" i="4"/>
  <c r="D10" i="4"/>
  <c r="D7" i="4"/>
  <c r="D9" i="4"/>
  <c r="D2" i="4"/>
  <c r="D11" i="4"/>
  <c r="C10" i="4"/>
  <c r="C7" i="4"/>
  <c r="C9" i="4"/>
  <c r="C2" i="4"/>
  <c r="C11" i="4"/>
  <c r="D4" i="4"/>
  <c r="D8" i="4"/>
  <c r="D5" i="4"/>
  <c r="D3" i="4"/>
  <c r="D6" i="4"/>
  <c r="C4" i="4"/>
  <c r="C8" i="4"/>
  <c r="C5" i="4"/>
  <c r="C3" i="4"/>
  <c r="C6" i="4"/>
</calcChain>
</file>

<file path=xl/sharedStrings.xml><?xml version="1.0" encoding="utf-8"?>
<sst xmlns="http://schemas.openxmlformats.org/spreadsheetml/2006/main" count="64" uniqueCount="50">
  <si>
    <t>Student ID</t>
  </si>
  <si>
    <t>Adam</t>
  </si>
  <si>
    <t>Anna</t>
  </si>
  <si>
    <t>Zuzanna</t>
  </si>
  <si>
    <t>Ewelina</t>
  </si>
  <si>
    <t>Andrzej</t>
  </si>
  <si>
    <t>Zieliński</t>
  </si>
  <si>
    <t>Nowak</t>
  </si>
  <si>
    <t>Kowalska</t>
  </si>
  <si>
    <t>Lew</t>
  </si>
  <si>
    <t>Skrzypecka</t>
  </si>
  <si>
    <t>Name</t>
  </si>
  <si>
    <t>Last name</t>
  </si>
  <si>
    <t>Birth date</t>
  </si>
  <si>
    <t>Email</t>
  </si>
  <si>
    <t>a.zieliński@gmail.com</t>
  </si>
  <si>
    <t>a.nowak@gmail.com</t>
  </si>
  <si>
    <t>a.kowalska@gmail.com</t>
  </si>
  <si>
    <t>z.lew@gmail.com</t>
  </si>
  <si>
    <t>e.skrzypecka@gmail.com</t>
  </si>
  <si>
    <t>Present</t>
  </si>
  <si>
    <t>Status</t>
  </si>
  <si>
    <t>Amount</t>
  </si>
  <si>
    <t>paid</t>
  </si>
  <si>
    <t>unpaid</t>
  </si>
  <si>
    <t>Attendance</t>
  </si>
  <si>
    <t>Payment status</t>
  </si>
  <si>
    <t>Katarzyna</t>
  </si>
  <si>
    <t>Dariusz</t>
  </si>
  <si>
    <t>Magdalena</t>
  </si>
  <si>
    <t>Jakub</t>
  </si>
  <si>
    <t>Stanisław</t>
  </si>
  <si>
    <t>Kajka</t>
  </si>
  <si>
    <t>Rozelski</t>
  </si>
  <si>
    <t>Pawłowska</t>
  </si>
  <si>
    <t>Skorupka</t>
  </si>
  <si>
    <t xml:space="preserve">Lewandowski </t>
  </si>
  <si>
    <t>k.kajka@gmail.com</t>
  </si>
  <si>
    <t>d.rozelski@gmail.com</t>
  </si>
  <si>
    <t>m.pawłowska@gmail.com</t>
  </si>
  <si>
    <t>j.skorupka@gmail.com</t>
  </si>
  <si>
    <t>s.lewandowski@gmail.com</t>
  </si>
  <si>
    <t>Full name</t>
  </si>
  <si>
    <t>Group</t>
  </si>
  <si>
    <t>Date</t>
  </si>
  <si>
    <r>
      <rPr>
        <b/>
        <sz val="11"/>
        <color theme="1"/>
        <rFont val="Calibri"/>
        <family val="2"/>
        <charset val="238"/>
        <scheme val="minor"/>
      </rPr>
      <t>Unpaid students:</t>
    </r>
    <r>
      <rPr>
        <sz val="11"/>
        <color theme="1"/>
        <rFont val="Calibri"/>
        <family val="2"/>
        <scheme val="minor"/>
      </rPr>
      <t xml:space="preserve"> 3</t>
    </r>
  </si>
  <si>
    <r>
      <rPr>
        <b/>
        <sz val="11"/>
        <color theme="1"/>
        <rFont val="Calibri"/>
        <family val="2"/>
        <charset val="238"/>
        <scheme val="minor"/>
      </rPr>
      <t xml:space="preserve">Lowest attendance: </t>
    </r>
    <r>
      <rPr>
        <sz val="11"/>
        <color theme="1"/>
        <rFont val="Calibri"/>
        <family val="2"/>
        <scheme val="minor"/>
      </rPr>
      <t>Jakub Skorupka (0%)</t>
    </r>
  </si>
  <si>
    <r>
      <rPr>
        <b/>
        <sz val="11"/>
        <color theme="1"/>
        <rFont val="Calibri"/>
        <family val="2"/>
        <charset val="238"/>
        <scheme val="minor"/>
      </rPr>
      <t xml:space="preserve">Lowest attendance among unpaid: </t>
    </r>
    <r>
      <rPr>
        <sz val="11"/>
        <color theme="1"/>
        <rFont val="Calibri"/>
        <family val="2"/>
        <charset val="238"/>
        <scheme val="minor"/>
      </rPr>
      <t>Adam Nowak (40%)</t>
    </r>
  </si>
  <si>
    <t>Grand Total</t>
  </si>
  <si>
    <t>Number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</si>
</sst>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Attendance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Summary!$B$2:$B$11</c:f>
              <c:strCache>
                <c:ptCount val="10"/>
                <c:pt idx="0">
                  <c:v>Jakub Skorupka</c:v>
                </c:pt>
                <c:pt idx="1">
                  <c:v>Ewelina Skrzypecka</c:v>
                </c:pt>
                <c:pt idx="2">
                  <c:v>Adam Nowak</c:v>
                </c:pt>
                <c:pt idx="3">
                  <c:v>Zuzanna Lew</c:v>
                </c:pt>
                <c:pt idx="4">
                  <c:v>Andrzej Zieliński</c:v>
                </c:pt>
                <c:pt idx="5">
                  <c:v>Dariusz Rozelski</c:v>
                </c:pt>
                <c:pt idx="6">
                  <c:v>Anna Kowalska</c:v>
                </c:pt>
                <c:pt idx="7">
                  <c:v>Magdalena Pawłowska</c:v>
                </c:pt>
                <c:pt idx="8">
                  <c:v>Katarzyna Kajka</c:v>
                </c:pt>
                <c:pt idx="9">
                  <c:v>Stanisław Lewandowski </c:v>
                </c:pt>
              </c:strCache>
            </c:strRef>
          </c:cat>
          <c:val>
            <c:numRef>
              <c:f>Summary!$C$2:$C$11</c:f>
              <c:numCache>
                <c:formatCode>0%</c:formatCode>
                <c:ptCount val="1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0.4</c:v>
                </c:pt>
                <c:pt idx="4">
                  <c:v>0.6</c:v>
                </c:pt>
                <c:pt idx="5">
                  <c:v>0.6</c:v>
                </c:pt>
                <c:pt idx="6">
                  <c:v>0.8</c:v>
                </c:pt>
                <c:pt idx="7">
                  <c:v>0.8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9-4297-80BE-B8F815DA6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468768"/>
        <c:axId val="737464448"/>
      </c:barChart>
      <c:catAx>
        <c:axId val="73746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7464448"/>
        <c:crosses val="autoZero"/>
        <c:auto val="1"/>
        <c:lblAlgn val="ctr"/>
        <c:lblOffset val="100"/>
        <c:noMultiLvlLbl val="0"/>
      </c:catAx>
      <c:valAx>
        <c:axId val="7374644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746876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12</xdr:row>
      <xdr:rowOff>109537</xdr:rowOff>
    </xdr:from>
    <xdr:to>
      <xdr:col>5</xdr:col>
      <xdr:colOff>1628774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0760A-F23A-82C8-D153-5D0E48281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jak" refreshedDate="46118.769554861108" createdVersion="8" refreshedVersion="8" minRefreshableVersion="3" recordCount="10" xr:uid="{7B3E39C5-463E-4825-BC81-D52A65C9D7D6}">
  <cacheSource type="worksheet">
    <worksheetSource ref="A1:C11" sheet="Payments"/>
  </cacheSource>
  <cacheFields count="3">
    <cacheField name="Student ID" numFmtId="0">
      <sharedItems containsSemiMixedTypes="0" containsString="0" containsNumber="1" containsInteger="1" minValue="1" maxValue="10"/>
    </cacheField>
    <cacheField name="Amount" numFmtId="0">
      <sharedItems containsSemiMixedTypes="0" containsString="0" containsNumber="1" containsInteger="1" minValue="500" maxValue="1500"/>
    </cacheField>
    <cacheField name="Status" numFmtId="0">
      <sharedItems count="2">
        <s v="paid"/>
        <s v="un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n v="500"/>
    <x v="0"/>
  </r>
  <r>
    <n v="2"/>
    <n v="500"/>
    <x v="1"/>
  </r>
  <r>
    <n v="3"/>
    <n v="500"/>
    <x v="0"/>
  </r>
  <r>
    <n v="4"/>
    <n v="500"/>
    <x v="0"/>
  </r>
  <r>
    <n v="5"/>
    <n v="1000"/>
    <x v="0"/>
  </r>
  <r>
    <n v="6"/>
    <n v="500"/>
    <x v="0"/>
  </r>
  <r>
    <n v="7"/>
    <n v="500"/>
    <x v="1"/>
  </r>
  <r>
    <n v="8"/>
    <n v="1000"/>
    <x v="1"/>
  </r>
  <r>
    <n v="9"/>
    <n v="1000"/>
    <x v="0"/>
  </r>
  <r>
    <n v="10"/>
    <n v="15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203B1-65FE-4986-8981-815F25E3C56A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status">
  <location ref="G14:H17" firstHeaderRow="1" firstDataRow="1" firstDataCol="1"/>
  <pivotFields count="3"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Number of students" fld="2" subtotal="count" baseField="2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.paw&#322;owska@gmail.com" TargetMode="External"/><Relationship Id="rId3" Type="http://schemas.openxmlformats.org/officeDocument/2006/relationships/hyperlink" Target="mailto:a.kowalska@gmail.com" TargetMode="External"/><Relationship Id="rId7" Type="http://schemas.openxmlformats.org/officeDocument/2006/relationships/hyperlink" Target="mailto:d.rozelski@gmail.com" TargetMode="External"/><Relationship Id="rId2" Type="http://schemas.openxmlformats.org/officeDocument/2006/relationships/hyperlink" Target="mailto:a.nowak@gmail.com" TargetMode="External"/><Relationship Id="rId1" Type="http://schemas.openxmlformats.org/officeDocument/2006/relationships/hyperlink" Target="mailto:a.zieli&#324;ski@gmail.com" TargetMode="External"/><Relationship Id="rId6" Type="http://schemas.openxmlformats.org/officeDocument/2006/relationships/hyperlink" Target="mailto:k.kajka@gmail.com" TargetMode="External"/><Relationship Id="rId5" Type="http://schemas.openxmlformats.org/officeDocument/2006/relationships/hyperlink" Target="mailto:e.skrzypecka@gmail.com" TargetMode="External"/><Relationship Id="rId10" Type="http://schemas.openxmlformats.org/officeDocument/2006/relationships/hyperlink" Target="mailto:s.lewandowski@gmail.com" TargetMode="External"/><Relationship Id="rId4" Type="http://schemas.openxmlformats.org/officeDocument/2006/relationships/hyperlink" Target="mailto:z.lew@gmail.com" TargetMode="External"/><Relationship Id="rId9" Type="http://schemas.openxmlformats.org/officeDocument/2006/relationships/hyperlink" Target="mailto:j.skorupka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15" sqref="E15"/>
    </sheetView>
  </sheetViews>
  <sheetFormatPr defaultRowHeight="15" x14ac:dyDescent="0.25"/>
  <cols>
    <col min="1" max="1" width="10.28515625" bestFit="1" customWidth="1"/>
    <col min="2" max="2" width="10.7109375" bestFit="1" customWidth="1"/>
    <col min="3" max="3" width="13.5703125" bestFit="1" customWidth="1"/>
    <col min="4" max="4" width="10.140625" bestFit="1" customWidth="1"/>
    <col min="5" max="5" width="25.7109375" bestFit="1" customWidth="1"/>
  </cols>
  <sheetData>
    <row r="1" spans="1:6" s="1" customFormat="1" x14ac:dyDescent="0.25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43</v>
      </c>
    </row>
    <row r="2" spans="1:6" x14ac:dyDescent="0.25">
      <c r="A2" s="3">
        <v>1</v>
      </c>
      <c r="B2" s="3" t="s">
        <v>5</v>
      </c>
      <c r="C2" s="3" t="s">
        <v>6</v>
      </c>
      <c r="D2" s="4">
        <v>39583</v>
      </c>
      <c r="E2" s="5" t="s">
        <v>15</v>
      </c>
      <c r="F2" s="3"/>
    </row>
    <row r="3" spans="1:6" x14ac:dyDescent="0.25">
      <c r="A3" s="3">
        <v>2</v>
      </c>
      <c r="B3" s="3" t="s">
        <v>1</v>
      </c>
      <c r="C3" s="3" t="s">
        <v>7</v>
      </c>
      <c r="D3" s="4">
        <v>39107</v>
      </c>
      <c r="E3" s="5" t="s">
        <v>16</v>
      </c>
      <c r="F3" s="3"/>
    </row>
    <row r="4" spans="1:6" x14ac:dyDescent="0.25">
      <c r="A4" s="3">
        <v>3</v>
      </c>
      <c r="B4" s="3" t="s">
        <v>2</v>
      </c>
      <c r="C4" s="3" t="s">
        <v>8</v>
      </c>
      <c r="D4" s="4">
        <v>39324</v>
      </c>
      <c r="E4" s="5" t="s">
        <v>17</v>
      </c>
      <c r="F4" s="3"/>
    </row>
    <row r="5" spans="1:6" x14ac:dyDescent="0.25">
      <c r="A5" s="3">
        <v>4</v>
      </c>
      <c r="B5" s="3" t="s">
        <v>3</v>
      </c>
      <c r="C5" s="3" t="s">
        <v>9</v>
      </c>
      <c r="D5" s="4">
        <v>39784</v>
      </c>
      <c r="E5" s="5" t="s">
        <v>18</v>
      </c>
      <c r="F5" s="3"/>
    </row>
    <row r="6" spans="1:6" x14ac:dyDescent="0.25">
      <c r="A6" s="3">
        <v>5</v>
      </c>
      <c r="B6" s="3" t="s">
        <v>4</v>
      </c>
      <c r="C6" s="3" t="s">
        <v>10</v>
      </c>
      <c r="D6" s="4">
        <v>38793</v>
      </c>
      <c r="E6" s="5" t="s">
        <v>19</v>
      </c>
      <c r="F6" s="3"/>
    </row>
    <row r="7" spans="1:6" x14ac:dyDescent="0.25">
      <c r="A7" s="3">
        <v>6</v>
      </c>
      <c r="B7" s="3" t="s">
        <v>27</v>
      </c>
      <c r="C7" s="3" t="s">
        <v>32</v>
      </c>
      <c r="D7" s="4">
        <v>38698</v>
      </c>
      <c r="E7" s="5" t="s">
        <v>37</v>
      </c>
      <c r="F7" s="3"/>
    </row>
    <row r="8" spans="1:6" x14ac:dyDescent="0.25">
      <c r="A8" s="3">
        <v>7</v>
      </c>
      <c r="B8" s="3" t="s">
        <v>28</v>
      </c>
      <c r="C8" s="3" t="s">
        <v>33</v>
      </c>
      <c r="D8" s="4">
        <v>39324</v>
      </c>
      <c r="E8" s="5" t="s">
        <v>38</v>
      </c>
      <c r="F8" s="3"/>
    </row>
    <row r="9" spans="1:6" x14ac:dyDescent="0.25">
      <c r="A9" s="3">
        <v>8</v>
      </c>
      <c r="B9" s="3" t="s">
        <v>29</v>
      </c>
      <c r="C9" s="3" t="s">
        <v>34</v>
      </c>
      <c r="D9" s="4">
        <v>39023</v>
      </c>
      <c r="E9" s="5" t="s">
        <v>39</v>
      </c>
      <c r="F9" s="3"/>
    </row>
    <row r="10" spans="1:6" x14ac:dyDescent="0.25">
      <c r="A10" s="3">
        <v>9</v>
      </c>
      <c r="B10" s="3" t="s">
        <v>30</v>
      </c>
      <c r="C10" s="3" t="s">
        <v>35</v>
      </c>
      <c r="D10" s="4">
        <v>39558</v>
      </c>
      <c r="E10" s="5" t="s">
        <v>40</v>
      </c>
      <c r="F10" s="3"/>
    </row>
    <row r="11" spans="1:6" x14ac:dyDescent="0.25">
      <c r="A11" s="3">
        <v>10</v>
      </c>
      <c r="B11" s="3" t="s">
        <v>31</v>
      </c>
      <c r="C11" s="3" t="s">
        <v>36</v>
      </c>
      <c r="D11" s="4">
        <v>39503</v>
      </c>
      <c r="E11" s="5" t="s">
        <v>41</v>
      </c>
      <c r="F11" s="3"/>
    </row>
  </sheetData>
  <hyperlinks>
    <hyperlink ref="E2" r:id="rId1" xr:uid="{430B7C8C-855C-4800-A902-272F6B7FEC7B}"/>
    <hyperlink ref="E3" r:id="rId2" xr:uid="{18EE5A81-0EF9-4B42-AD0D-738C5C308295}"/>
    <hyperlink ref="E4" r:id="rId3" xr:uid="{6A048BEA-7E0A-4649-93BC-719CEF7B13C5}"/>
    <hyperlink ref="E5" r:id="rId4" xr:uid="{B5D37951-997A-481D-B2CA-2D10FDA8723E}"/>
    <hyperlink ref="E6" r:id="rId5" xr:uid="{3725AD16-2106-4E74-A209-459087050310}"/>
    <hyperlink ref="E7" r:id="rId6" xr:uid="{26674E0E-8BC2-4458-8CA8-C4BF12735504}"/>
    <hyperlink ref="E8" r:id="rId7" xr:uid="{6BA5482F-C553-46F2-8D5F-A92D584B59E1}"/>
    <hyperlink ref="E9" r:id="rId8" xr:uid="{E6556B1E-8DC7-4CA6-AC73-4C248267EFDF}"/>
    <hyperlink ref="E10" r:id="rId9" xr:uid="{43E53541-3488-4CF8-895F-99F92BE0A016}"/>
    <hyperlink ref="E11" r:id="rId10" xr:uid="{2CAEF3B4-8B93-4B59-A7F3-D23F365EF8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A2B0-4F5F-406D-BE0C-D75AC956AFAC}">
  <dimension ref="A1:C51"/>
  <sheetViews>
    <sheetView topLeftCell="A14" workbookViewId="0">
      <selection activeCell="C30" sqref="C30"/>
    </sheetView>
  </sheetViews>
  <sheetFormatPr defaultRowHeight="15" x14ac:dyDescent="0.25"/>
  <cols>
    <col min="1" max="1" width="10.28515625" style="3" bestFit="1" customWidth="1"/>
    <col min="2" max="2" width="10.28515625" style="3" customWidth="1"/>
    <col min="3" max="3" width="7.85546875" style="3" bestFit="1" customWidth="1"/>
  </cols>
  <sheetData>
    <row r="1" spans="1:3" s="1" customFormat="1" x14ac:dyDescent="0.25">
      <c r="A1" s="2" t="s">
        <v>0</v>
      </c>
      <c r="B1" s="2" t="s">
        <v>44</v>
      </c>
      <c r="C1" s="2" t="s">
        <v>20</v>
      </c>
    </row>
    <row r="2" spans="1:3" x14ac:dyDescent="0.25">
      <c r="A2" s="3">
        <v>1</v>
      </c>
      <c r="B2" s="4">
        <v>46113</v>
      </c>
      <c r="C2" s="3">
        <v>0</v>
      </c>
    </row>
    <row r="3" spans="1:3" x14ac:dyDescent="0.25">
      <c r="A3" s="3">
        <v>1</v>
      </c>
      <c r="B3" s="4">
        <v>46119</v>
      </c>
      <c r="C3" s="3">
        <v>1</v>
      </c>
    </row>
    <row r="4" spans="1:3" x14ac:dyDescent="0.25">
      <c r="A4" s="3">
        <v>1</v>
      </c>
      <c r="B4" s="4">
        <v>46126</v>
      </c>
      <c r="C4" s="3">
        <v>1</v>
      </c>
    </row>
    <row r="5" spans="1:3" x14ac:dyDescent="0.25">
      <c r="A5" s="3">
        <v>1</v>
      </c>
      <c r="B5" s="4">
        <v>46133</v>
      </c>
      <c r="C5" s="3">
        <v>1</v>
      </c>
    </row>
    <row r="6" spans="1:3" x14ac:dyDescent="0.25">
      <c r="A6" s="3">
        <v>1</v>
      </c>
      <c r="B6" s="4">
        <v>46140</v>
      </c>
      <c r="C6" s="3">
        <v>0</v>
      </c>
    </row>
    <row r="7" spans="1:3" x14ac:dyDescent="0.25">
      <c r="A7" s="3">
        <v>2</v>
      </c>
      <c r="B7" s="4">
        <v>46113</v>
      </c>
      <c r="C7" s="3">
        <v>1</v>
      </c>
    </row>
    <row r="8" spans="1:3" x14ac:dyDescent="0.25">
      <c r="A8" s="3">
        <v>2</v>
      </c>
      <c r="B8" s="4">
        <v>46119</v>
      </c>
      <c r="C8" s="3">
        <v>0</v>
      </c>
    </row>
    <row r="9" spans="1:3" x14ac:dyDescent="0.25">
      <c r="A9" s="3">
        <v>2</v>
      </c>
      <c r="B9" s="4">
        <v>46126</v>
      </c>
      <c r="C9" s="3">
        <v>0</v>
      </c>
    </row>
    <row r="10" spans="1:3" x14ac:dyDescent="0.25">
      <c r="A10" s="3">
        <v>2</v>
      </c>
      <c r="B10" s="4">
        <v>46133</v>
      </c>
      <c r="C10" s="3">
        <v>0</v>
      </c>
    </row>
    <row r="11" spans="1:3" x14ac:dyDescent="0.25">
      <c r="A11" s="3">
        <v>2</v>
      </c>
      <c r="B11" s="4">
        <v>46140</v>
      </c>
      <c r="C11" s="3">
        <v>1</v>
      </c>
    </row>
    <row r="12" spans="1:3" x14ac:dyDescent="0.25">
      <c r="A12" s="3">
        <v>3</v>
      </c>
      <c r="B12" s="4">
        <v>46113</v>
      </c>
      <c r="C12" s="3">
        <v>1</v>
      </c>
    </row>
    <row r="13" spans="1:3" x14ac:dyDescent="0.25">
      <c r="A13" s="3">
        <v>3</v>
      </c>
      <c r="B13" s="4">
        <v>46119</v>
      </c>
      <c r="C13" s="3">
        <v>0</v>
      </c>
    </row>
    <row r="14" spans="1:3" x14ac:dyDescent="0.25">
      <c r="A14" s="3">
        <v>3</v>
      </c>
      <c r="B14" s="4">
        <v>46126</v>
      </c>
      <c r="C14" s="3">
        <v>1</v>
      </c>
    </row>
    <row r="15" spans="1:3" x14ac:dyDescent="0.25">
      <c r="A15" s="3">
        <v>3</v>
      </c>
      <c r="B15" s="4">
        <v>46133</v>
      </c>
      <c r="C15" s="3">
        <v>1</v>
      </c>
    </row>
    <row r="16" spans="1:3" x14ac:dyDescent="0.25">
      <c r="A16" s="3">
        <v>3</v>
      </c>
      <c r="B16" s="4">
        <v>46140</v>
      </c>
      <c r="C16" s="3">
        <v>1</v>
      </c>
    </row>
    <row r="17" spans="1:3" x14ac:dyDescent="0.25">
      <c r="A17" s="3">
        <v>4</v>
      </c>
      <c r="B17" s="4">
        <v>46113</v>
      </c>
      <c r="C17" s="3">
        <v>1</v>
      </c>
    </row>
    <row r="18" spans="1:3" x14ac:dyDescent="0.25">
      <c r="A18" s="3">
        <v>4</v>
      </c>
      <c r="B18" s="4">
        <v>46119</v>
      </c>
      <c r="C18" s="3">
        <v>0</v>
      </c>
    </row>
    <row r="19" spans="1:3" x14ac:dyDescent="0.25">
      <c r="A19" s="3">
        <v>4</v>
      </c>
      <c r="B19" s="4">
        <v>46126</v>
      </c>
      <c r="C19" s="3">
        <v>0</v>
      </c>
    </row>
    <row r="20" spans="1:3" x14ac:dyDescent="0.25">
      <c r="A20" s="3">
        <v>4</v>
      </c>
      <c r="B20" s="4">
        <v>46133</v>
      </c>
      <c r="C20" s="3">
        <v>0</v>
      </c>
    </row>
    <row r="21" spans="1:3" x14ac:dyDescent="0.25">
      <c r="A21" s="3">
        <v>4</v>
      </c>
      <c r="B21" s="4">
        <v>46140</v>
      </c>
      <c r="C21" s="3">
        <v>1</v>
      </c>
    </row>
    <row r="22" spans="1:3" x14ac:dyDescent="0.25">
      <c r="A22" s="3">
        <v>5</v>
      </c>
      <c r="B22" s="4">
        <v>46113</v>
      </c>
      <c r="C22" s="3">
        <v>1</v>
      </c>
    </row>
    <row r="23" spans="1:3" x14ac:dyDescent="0.25">
      <c r="A23" s="3">
        <v>5</v>
      </c>
      <c r="B23" s="4">
        <v>46119</v>
      </c>
      <c r="C23" s="3">
        <v>0</v>
      </c>
    </row>
    <row r="24" spans="1:3" x14ac:dyDescent="0.25">
      <c r="A24" s="3">
        <v>5</v>
      </c>
      <c r="B24" s="4">
        <v>46126</v>
      </c>
      <c r="C24" s="3">
        <v>0</v>
      </c>
    </row>
    <row r="25" spans="1:3" x14ac:dyDescent="0.25">
      <c r="A25" s="3">
        <v>5</v>
      </c>
      <c r="B25" s="4">
        <v>46133</v>
      </c>
      <c r="C25" s="3">
        <v>0</v>
      </c>
    </row>
    <row r="26" spans="1:3" x14ac:dyDescent="0.25">
      <c r="A26" s="3">
        <v>5</v>
      </c>
      <c r="B26" s="4">
        <v>46140</v>
      </c>
      <c r="C26" s="3">
        <v>0</v>
      </c>
    </row>
    <row r="27" spans="1:3" x14ac:dyDescent="0.25">
      <c r="A27" s="3">
        <v>6</v>
      </c>
      <c r="B27" s="4">
        <v>46113</v>
      </c>
      <c r="C27" s="3">
        <v>1</v>
      </c>
    </row>
    <row r="28" spans="1:3" x14ac:dyDescent="0.25">
      <c r="A28" s="3">
        <v>6</v>
      </c>
      <c r="B28" s="4">
        <v>46119</v>
      </c>
      <c r="C28" s="3">
        <v>1</v>
      </c>
    </row>
    <row r="29" spans="1:3" x14ac:dyDescent="0.25">
      <c r="A29" s="3">
        <v>6</v>
      </c>
      <c r="B29" s="4">
        <v>46126</v>
      </c>
      <c r="C29" s="3">
        <v>1</v>
      </c>
    </row>
    <row r="30" spans="1:3" x14ac:dyDescent="0.25">
      <c r="A30" s="3">
        <v>6</v>
      </c>
      <c r="B30" s="4">
        <v>46133</v>
      </c>
      <c r="C30" s="3">
        <v>1</v>
      </c>
    </row>
    <row r="31" spans="1:3" x14ac:dyDescent="0.25">
      <c r="A31" s="3">
        <v>6</v>
      </c>
      <c r="B31" s="4">
        <v>46140</v>
      </c>
      <c r="C31" s="3">
        <v>1</v>
      </c>
    </row>
    <row r="32" spans="1:3" x14ac:dyDescent="0.25">
      <c r="A32" s="3">
        <v>7</v>
      </c>
      <c r="B32" s="4">
        <v>46113</v>
      </c>
      <c r="C32" s="3">
        <v>1</v>
      </c>
    </row>
    <row r="33" spans="1:3" x14ac:dyDescent="0.25">
      <c r="A33" s="3">
        <v>7</v>
      </c>
      <c r="B33" s="4">
        <v>46119</v>
      </c>
      <c r="C33" s="3">
        <v>1</v>
      </c>
    </row>
    <row r="34" spans="1:3" x14ac:dyDescent="0.25">
      <c r="A34" s="3">
        <v>7</v>
      </c>
      <c r="B34" s="4">
        <v>46126</v>
      </c>
      <c r="C34" s="3">
        <v>0</v>
      </c>
    </row>
    <row r="35" spans="1:3" x14ac:dyDescent="0.25">
      <c r="A35" s="3">
        <v>7</v>
      </c>
      <c r="B35" s="4">
        <v>46133</v>
      </c>
      <c r="C35" s="3">
        <v>1</v>
      </c>
    </row>
    <row r="36" spans="1:3" x14ac:dyDescent="0.25">
      <c r="A36" s="3">
        <v>7</v>
      </c>
      <c r="B36" s="4">
        <v>46140</v>
      </c>
      <c r="C36" s="3">
        <v>0</v>
      </c>
    </row>
    <row r="37" spans="1:3" x14ac:dyDescent="0.25">
      <c r="A37" s="3">
        <v>8</v>
      </c>
      <c r="B37" s="4">
        <v>46113</v>
      </c>
      <c r="C37" s="3">
        <v>0</v>
      </c>
    </row>
    <row r="38" spans="1:3" x14ac:dyDescent="0.25">
      <c r="A38" s="3">
        <v>8</v>
      </c>
      <c r="B38" s="4">
        <v>46119</v>
      </c>
      <c r="C38" s="3">
        <v>1</v>
      </c>
    </row>
    <row r="39" spans="1:3" x14ac:dyDescent="0.25">
      <c r="A39" s="3">
        <v>8</v>
      </c>
      <c r="B39" s="4">
        <v>46126</v>
      </c>
      <c r="C39" s="3">
        <v>1</v>
      </c>
    </row>
    <row r="40" spans="1:3" x14ac:dyDescent="0.25">
      <c r="A40" s="3">
        <v>8</v>
      </c>
      <c r="B40" s="4">
        <v>46133</v>
      </c>
      <c r="C40" s="3">
        <v>1</v>
      </c>
    </row>
    <row r="41" spans="1:3" x14ac:dyDescent="0.25">
      <c r="A41" s="3">
        <v>8</v>
      </c>
      <c r="B41" s="4">
        <v>46140</v>
      </c>
      <c r="C41" s="3">
        <v>1</v>
      </c>
    </row>
    <row r="42" spans="1:3" x14ac:dyDescent="0.25">
      <c r="A42" s="3">
        <v>9</v>
      </c>
      <c r="B42" s="4">
        <v>46113</v>
      </c>
      <c r="C42" s="3">
        <v>0</v>
      </c>
    </row>
    <row r="43" spans="1:3" x14ac:dyDescent="0.25">
      <c r="A43" s="3">
        <v>9</v>
      </c>
      <c r="B43" s="4">
        <v>46119</v>
      </c>
      <c r="C43" s="3">
        <v>0</v>
      </c>
    </row>
    <row r="44" spans="1:3" x14ac:dyDescent="0.25">
      <c r="A44" s="3">
        <v>9</v>
      </c>
      <c r="B44" s="4">
        <v>46126</v>
      </c>
      <c r="C44" s="3">
        <v>0</v>
      </c>
    </row>
    <row r="45" spans="1:3" x14ac:dyDescent="0.25">
      <c r="A45" s="3">
        <v>9</v>
      </c>
      <c r="B45" s="4">
        <v>46133</v>
      </c>
      <c r="C45" s="3">
        <v>0</v>
      </c>
    </row>
    <row r="46" spans="1:3" x14ac:dyDescent="0.25">
      <c r="A46" s="3">
        <v>9</v>
      </c>
      <c r="B46" s="4">
        <v>46140</v>
      </c>
      <c r="C46" s="3">
        <v>0</v>
      </c>
    </row>
    <row r="47" spans="1:3" x14ac:dyDescent="0.25">
      <c r="A47" s="3">
        <v>10</v>
      </c>
      <c r="B47" s="4">
        <v>46113</v>
      </c>
      <c r="C47" s="3">
        <v>1</v>
      </c>
    </row>
    <row r="48" spans="1:3" x14ac:dyDescent="0.25">
      <c r="A48" s="3">
        <v>10</v>
      </c>
      <c r="B48" s="4">
        <v>46119</v>
      </c>
      <c r="C48" s="3">
        <v>1</v>
      </c>
    </row>
    <row r="49" spans="1:3" x14ac:dyDescent="0.25">
      <c r="A49" s="3">
        <v>10</v>
      </c>
      <c r="B49" s="4">
        <v>46126</v>
      </c>
      <c r="C49" s="3">
        <v>1</v>
      </c>
    </row>
    <row r="50" spans="1:3" x14ac:dyDescent="0.25">
      <c r="A50" s="3">
        <v>10</v>
      </c>
      <c r="B50" s="4">
        <v>46133</v>
      </c>
      <c r="C50" s="3">
        <v>1</v>
      </c>
    </row>
    <row r="51" spans="1:3" x14ac:dyDescent="0.25">
      <c r="A51" s="3">
        <v>10</v>
      </c>
      <c r="B51" s="4">
        <v>46140</v>
      </c>
      <c r="C51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76DD-3F12-43FD-8180-9935A4C783FE}">
  <dimension ref="A1:C11"/>
  <sheetViews>
    <sheetView workbookViewId="0">
      <selection sqref="A1:C11"/>
    </sheetView>
  </sheetViews>
  <sheetFormatPr defaultRowHeight="15" x14ac:dyDescent="0.25"/>
  <cols>
    <col min="1" max="1" width="10.28515625" style="3" bestFit="1" customWidth="1"/>
    <col min="2" max="2" width="8.140625" style="3" bestFit="1" customWidth="1"/>
    <col min="3" max="3" width="7.140625" style="3" bestFit="1" customWidth="1"/>
  </cols>
  <sheetData>
    <row r="1" spans="1:3" s="1" customFormat="1" x14ac:dyDescent="0.25">
      <c r="A1" s="2" t="s">
        <v>0</v>
      </c>
      <c r="B1" s="2" t="s">
        <v>22</v>
      </c>
      <c r="C1" s="2" t="s">
        <v>21</v>
      </c>
    </row>
    <row r="2" spans="1:3" x14ac:dyDescent="0.25">
      <c r="A2" s="3">
        <v>1</v>
      </c>
      <c r="B2" s="3">
        <v>500</v>
      </c>
      <c r="C2" s="3" t="s">
        <v>23</v>
      </c>
    </row>
    <row r="3" spans="1:3" x14ac:dyDescent="0.25">
      <c r="A3" s="3">
        <v>2</v>
      </c>
      <c r="B3" s="3">
        <v>500</v>
      </c>
      <c r="C3" s="3" t="s">
        <v>24</v>
      </c>
    </row>
    <row r="4" spans="1:3" x14ac:dyDescent="0.25">
      <c r="A4" s="3">
        <v>3</v>
      </c>
      <c r="B4" s="3">
        <v>500</v>
      </c>
      <c r="C4" s="3" t="s">
        <v>23</v>
      </c>
    </row>
    <row r="5" spans="1:3" x14ac:dyDescent="0.25">
      <c r="A5" s="3">
        <v>4</v>
      </c>
      <c r="B5" s="3">
        <v>500</v>
      </c>
      <c r="C5" s="3" t="s">
        <v>23</v>
      </c>
    </row>
    <row r="6" spans="1:3" x14ac:dyDescent="0.25">
      <c r="A6" s="3">
        <v>5</v>
      </c>
      <c r="B6" s="3">
        <v>1000</v>
      </c>
      <c r="C6" s="3" t="s">
        <v>23</v>
      </c>
    </row>
    <row r="7" spans="1:3" x14ac:dyDescent="0.25">
      <c r="A7" s="3">
        <v>6</v>
      </c>
      <c r="B7" s="3">
        <v>500</v>
      </c>
      <c r="C7" s="3" t="s">
        <v>23</v>
      </c>
    </row>
    <row r="8" spans="1:3" x14ac:dyDescent="0.25">
      <c r="A8" s="3">
        <v>7</v>
      </c>
      <c r="B8" s="3">
        <v>500</v>
      </c>
      <c r="C8" s="3" t="s">
        <v>24</v>
      </c>
    </row>
    <row r="9" spans="1:3" x14ac:dyDescent="0.25">
      <c r="A9" s="3">
        <v>8</v>
      </c>
      <c r="B9" s="3">
        <v>1000</v>
      </c>
      <c r="C9" s="3" t="s">
        <v>24</v>
      </c>
    </row>
    <row r="10" spans="1:3" x14ac:dyDescent="0.25">
      <c r="A10" s="3">
        <v>9</v>
      </c>
      <c r="B10" s="3">
        <v>1000</v>
      </c>
      <c r="C10" s="3" t="s">
        <v>23</v>
      </c>
    </row>
    <row r="11" spans="1:3" x14ac:dyDescent="0.25">
      <c r="A11" s="3">
        <v>10</v>
      </c>
      <c r="B11" s="3">
        <v>1500</v>
      </c>
      <c r="C11" s="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FF063-7BF7-47B8-8B1F-BBF13CCB3816}">
  <dimension ref="A1:H17"/>
  <sheetViews>
    <sheetView tabSelected="1" zoomScale="85" zoomScaleNormal="85" workbookViewId="0">
      <selection activeCell="H19" sqref="H19"/>
    </sheetView>
  </sheetViews>
  <sheetFormatPr defaultRowHeight="15" x14ac:dyDescent="0.25"/>
  <cols>
    <col min="1" max="1" width="10.28515625" style="3" bestFit="1" customWidth="1"/>
    <col min="2" max="2" width="22.7109375" style="3" bestFit="1" customWidth="1"/>
    <col min="3" max="3" width="11.28515625" style="3" bestFit="1" customWidth="1"/>
    <col min="4" max="4" width="14.85546875" style="3" bestFit="1" customWidth="1"/>
    <col min="6" max="6" width="50.140625" bestFit="1" customWidth="1"/>
    <col min="7" max="7" width="17" bestFit="1" customWidth="1"/>
    <col min="8" max="8" width="19" bestFit="1" customWidth="1"/>
  </cols>
  <sheetData>
    <row r="1" spans="1:8" s="1" customFormat="1" x14ac:dyDescent="0.25">
      <c r="A1" s="2" t="s">
        <v>0</v>
      </c>
      <c r="B1" s="2" t="s">
        <v>42</v>
      </c>
      <c r="C1" s="2" t="s">
        <v>25</v>
      </c>
      <c r="D1" s="2" t="s">
        <v>26</v>
      </c>
    </row>
    <row r="2" spans="1:8" x14ac:dyDescent="0.25">
      <c r="A2" s="3">
        <v>9</v>
      </c>
      <c r="B2" s="3" t="str">
        <f>VLOOKUP(A2, Students!A:C, 2, FALSE) &amp; " " &amp; VLOOKUP(A2, Students!A:C, 3, FALSE)</f>
        <v>Jakub Skorupka</v>
      </c>
      <c r="C2" s="6">
        <f>AVERAGEIF(Attendance!A:A, A2, Attendance!C:C)</f>
        <v>0</v>
      </c>
      <c r="D2" s="3" t="str">
        <f>VLOOKUP(A2, Payments!A:C, 3, FALSE)</f>
        <v>paid</v>
      </c>
      <c r="F2" s="7"/>
    </row>
    <row r="3" spans="1:8" x14ac:dyDescent="0.25">
      <c r="A3" s="3">
        <v>5</v>
      </c>
      <c r="B3" s="3" t="str">
        <f>VLOOKUP(A3, Students!A:C, 2, FALSE) &amp; " " &amp; VLOOKUP(A3, Students!A:C, 3, FALSE)</f>
        <v>Ewelina Skrzypecka</v>
      </c>
      <c r="C3" s="6">
        <f>AVERAGEIF(Attendance!A:A, A3, Attendance!C:C)</f>
        <v>0.2</v>
      </c>
      <c r="D3" s="3" t="str">
        <f>VLOOKUP(A3, Payments!A:C, 3, FALSE)</f>
        <v>paid</v>
      </c>
      <c r="F3" s="7"/>
    </row>
    <row r="4" spans="1:8" x14ac:dyDescent="0.25">
      <c r="A4" s="3">
        <v>2</v>
      </c>
      <c r="B4" s="3" t="str">
        <f>VLOOKUP(A4, Students!A:C, 2, FALSE) &amp; " " &amp; VLOOKUP(A4, Students!A:C, 3, FALSE)</f>
        <v>Adam Nowak</v>
      </c>
      <c r="C4" s="6">
        <f>AVERAGEIF(Attendance!A:A, A4, Attendance!C:C)</f>
        <v>0.4</v>
      </c>
      <c r="D4" s="3" t="str">
        <f>VLOOKUP(A4, Payments!A:C, 3, FALSE)</f>
        <v>unpaid</v>
      </c>
      <c r="F4" s="7"/>
    </row>
    <row r="5" spans="1:8" x14ac:dyDescent="0.25">
      <c r="A5" s="3">
        <v>4</v>
      </c>
      <c r="B5" s="3" t="str">
        <f>VLOOKUP(A5, Students!A:C, 2, FALSE) &amp; " " &amp; VLOOKUP(A5, Students!A:C, 3, FALSE)</f>
        <v>Zuzanna Lew</v>
      </c>
      <c r="C5" s="6">
        <f>AVERAGEIF(Attendance!A:A, A5, Attendance!C:C)</f>
        <v>0.4</v>
      </c>
      <c r="D5" s="3" t="str">
        <f>VLOOKUP(A5, Payments!A:C, 3, FALSE)</f>
        <v>paid</v>
      </c>
      <c r="F5" s="7" t="s">
        <v>46</v>
      </c>
    </row>
    <row r="6" spans="1:8" x14ac:dyDescent="0.25">
      <c r="A6" s="3">
        <v>1</v>
      </c>
      <c r="B6" s="3" t="str">
        <f>VLOOKUP(A6, Students!A:C, 2, FALSE) &amp; " " &amp; VLOOKUP(A6, Students!A:C, 3, FALSE)</f>
        <v>Andrzej Zieliński</v>
      </c>
      <c r="C6" s="6">
        <f>AVERAGEIF(Attendance!A:A, A6, Attendance!C:C)</f>
        <v>0.6</v>
      </c>
      <c r="D6" s="3" t="str">
        <f>VLOOKUP(A6, Payments!A:C, 3, FALSE)</f>
        <v>paid</v>
      </c>
      <c r="F6" s="7" t="s">
        <v>45</v>
      </c>
    </row>
    <row r="7" spans="1:8" x14ac:dyDescent="0.25">
      <c r="A7" s="3">
        <v>7</v>
      </c>
      <c r="B7" s="3" t="str">
        <f>VLOOKUP(A7, Students!A:C, 2, FALSE) &amp; " " &amp; VLOOKUP(A7, Students!A:C, 3, FALSE)</f>
        <v>Dariusz Rozelski</v>
      </c>
      <c r="C7" s="6">
        <f>AVERAGEIF(Attendance!A:A, A7, Attendance!C:C)</f>
        <v>0.6</v>
      </c>
      <c r="D7" s="3" t="str">
        <f>VLOOKUP(A7, Payments!A:C, 3, FALSE)</f>
        <v>unpaid</v>
      </c>
      <c r="F7" s="7" t="s">
        <v>47</v>
      </c>
    </row>
    <row r="8" spans="1:8" x14ac:dyDescent="0.25">
      <c r="A8" s="3">
        <v>3</v>
      </c>
      <c r="B8" s="3" t="str">
        <f>VLOOKUP(A8, Students!A:C, 2, FALSE) &amp; " " &amp; VLOOKUP(A8, Students!A:C, 3, FALSE)</f>
        <v>Anna Kowalska</v>
      </c>
      <c r="C8" s="6">
        <f>AVERAGEIF(Attendance!A:A, A8, Attendance!C:C)</f>
        <v>0.8</v>
      </c>
      <c r="D8" s="3" t="str">
        <f>VLOOKUP(A8, Payments!A:C, 3, FALSE)</f>
        <v>paid</v>
      </c>
    </row>
    <row r="9" spans="1:8" x14ac:dyDescent="0.25">
      <c r="A9" s="3">
        <v>8</v>
      </c>
      <c r="B9" s="3" t="str">
        <f>VLOOKUP(A9, Students!A:C, 2, FALSE) &amp; " " &amp; VLOOKUP(A9, Students!A:C, 3, FALSE)</f>
        <v>Magdalena Pawłowska</v>
      </c>
      <c r="C9" s="6">
        <f>AVERAGEIF(Attendance!A:A, A9, Attendance!C:C)</f>
        <v>0.8</v>
      </c>
      <c r="D9" s="3" t="str">
        <f>VLOOKUP(A9, Payments!A:C, 3, FALSE)</f>
        <v>unpaid</v>
      </c>
    </row>
    <row r="10" spans="1:8" x14ac:dyDescent="0.25">
      <c r="A10" s="3">
        <v>6</v>
      </c>
      <c r="B10" s="3" t="str">
        <f>VLOOKUP(A10, Students!A:C, 2, FALSE) &amp; " " &amp; VLOOKUP(A10, Students!A:C, 3, FALSE)</f>
        <v>Katarzyna Kajka</v>
      </c>
      <c r="C10" s="6">
        <f>AVERAGEIF(Attendance!A:A, A10, Attendance!C:C)</f>
        <v>1</v>
      </c>
      <c r="D10" s="3" t="str">
        <f>VLOOKUP(A10, Payments!A:C, 3, FALSE)</f>
        <v>paid</v>
      </c>
    </row>
    <row r="11" spans="1:8" x14ac:dyDescent="0.25">
      <c r="A11" s="3">
        <v>10</v>
      </c>
      <c r="B11" s="3" t="str">
        <f>VLOOKUP(A11, Students!A:C, 2, FALSE) &amp; " " &amp; VLOOKUP(A11, Students!A:C, 3, FALSE)</f>
        <v xml:space="preserve">Stanisław Lewandowski </v>
      </c>
      <c r="C11" s="6">
        <f>AVERAGEIF(Attendance!A:A, A11, Attendance!C:C)</f>
        <v>1</v>
      </c>
      <c r="D11" s="3" t="str">
        <f>VLOOKUP(A11, Payments!A:C, 3, FALSE)</f>
        <v>paid</v>
      </c>
    </row>
    <row r="14" spans="1:8" x14ac:dyDescent="0.25">
      <c r="G14" s="8" t="s">
        <v>26</v>
      </c>
      <c r="H14" t="s">
        <v>49</v>
      </c>
    </row>
    <row r="15" spans="1:8" x14ac:dyDescent="0.25">
      <c r="G15" s="9" t="s">
        <v>23</v>
      </c>
      <c r="H15" s="10">
        <v>7</v>
      </c>
    </row>
    <row r="16" spans="1:8" x14ac:dyDescent="0.25">
      <c r="G16" s="9" t="s">
        <v>24</v>
      </c>
      <c r="H16" s="10">
        <v>3</v>
      </c>
    </row>
    <row r="17" spans="7:8" x14ac:dyDescent="0.25">
      <c r="G17" s="9" t="s">
        <v>48</v>
      </c>
      <c r="H17" s="10">
        <v>10</v>
      </c>
    </row>
  </sheetData>
  <sortState xmlns:xlrd2="http://schemas.microsoft.com/office/spreadsheetml/2017/richdata2" ref="A2:D11">
    <sortCondition ref="C2:C11"/>
  </sortState>
  <conditionalFormatting sqref="D1:D1048576">
    <cfRule type="containsText" dxfId="1" priority="4" operator="containsText" text="unpaid">
      <formula>NOT(ISERROR(SEARCH("unpaid",D1)))</formula>
    </cfRule>
  </conditionalFormatting>
  <conditionalFormatting sqref="C2:C11">
    <cfRule type="cellIs" dxfId="0" priority="1" operator="lessThan">
      <formula>0.5</formula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Attendance</vt:lpstr>
      <vt:lpstr>Payments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 Wojciechowska</dc:creator>
  <cp:lastModifiedBy>Julia Wojciechowska</cp:lastModifiedBy>
  <dcterms:created xsi:type="dcterms:W3CDTF">2015-06-05T18:17:20Z</dcterms:created>
  <dcterms:modified xsi:type="dcterms:W3CDTF">2026-04-06T16:38:08Z</dcterms:modified>
</cp:coreProperties>
</file>